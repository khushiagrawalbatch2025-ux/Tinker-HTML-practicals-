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K.A\"/>
    </mc:Choice>
  </mc:AlternateContent>
  <bookViews>
    <workbookView xWindow="0" yWindow="0" windowWidth="28800" windowHeight="122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8" i="1" l="1"/>
  <c r="K3" i="1"/>
  <c r="K19" i="1"/>
  <c r="K9" i="1"/>
  <c r="K4" i="1"/>
  <c r="K10" i="1"/>
  <c r="K12" i="1"/>
  <c r="K7" i="1"/>
  <c r="K17" i="1"/>
  <c r="K6" i="1"/>
  <c r="K14" i="1"/>
  <c r="K21" i="1"/>
  <c r="K16" i="1"/>
  <c r="K8" i="1"/>
  <c r="K5" i="1"/>
  <c r="K2" i="1"/>
  <c r="K15" i="1"/>
  <c r="K11" i="1"/>
  <c r="K13" i="1"/>
  <c r="K20" i="1"/>
  <c r="J20" i="1"/>
  <c r="I13" i="1"/>
  <c r="J13" i="1"/>
  <c r="I11" i="1"/>
  <c r="J11" i="1"/>
  <c r="I15" i="1"/>
  <c r="J15" i="1"/>
  <c r="I2" i="1"/>
  <c r="J2" i="1"/>
  <c r="I5" i="1"/>
  <c r="J5" i="1"/>
  <c r="I8" i="1"/>
  <c r="J8" i="1"/>
  <c r="I16" i="1"/>
  <c r="J16" i="1"/>
  <c r="I14" i="1"/>
  <c r="J14" i="1"/>
  <c r="I21" i="1"/>
  <c r="J21" i="1"/>
  <c r="I6" i="1"/>
  <c r="J6" i="1"/>
  <c r="I17" i="1"/>
  <c r="J17" i="1"/>
  <c r="I7" i="1"/>
  <c r="J7" i="1"/>
  <c r="I12" i="1"/>
  <c r="J12" i="1"/>
  <c r="I10" i="1"/>
  <c r="J10" i="1"/>
  <c r="I4" i="1"/>
  <c r="J4" i="1"/>
  <c r="I9" i="1"/>
  <c r="J9" i="1"/>
  <c r="I19" i="1"/>
  <c r="J19" i="1"/>
  <c r="I3" i="1"/>
  <c r="J3" i="1"/>
  <c r="I18" i="1"/>
  <c r="J18" i="1"/>
  <c r="I20" i="1"/>
</calcChain>
</file>

<file path=xl/sharedStrings.xml><?xml version="1.0" encoding="utf-8"?>
<sst xmlns="http://schemas.openxmlformats.org/spreadsheetml/2006/main" count="51" uniqueCount="31">
  <si>
    <t>PRN</t>
  </si>
  <si>
    <t>Name</t>
  </si>
  <si>
    <t>S1</t>
  </si>
  <si>
    <t>S2</t>
  </si>
  <si>
    <t>S3</t>
  </si>
  <si>
    <t>S4</t>
  </si>
  <si>
    <t>Percentage</t>
  </si>
  <si>
    <t>Result</t>
  </si>
  <si>
    <t>S5</t>
  </si>
  <si>
    <t>total</t>
  </si>
  <si>
    <t>a</t>
  </si>
  <si>
    <t>d</t>
  </si>
  <si>
    <t>b</t>
  </si>
  <si>
    <t>c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</si>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</sst>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1"/>
  <sheetViews>
    <sheetView tabSelected="1" workbookViewId="0">
      <selection activeCell="Q19" sqref="Q19"/>
    </sheetView>
  </sheetViews>
  <sheetFormatPr defaultRowHeight="15" x14ac:dyDescent="0.25"/>
  <cols>
    <col min="1" max="1" width="13.85546875" customWidth="1"/>
    <col min="9" max="9" width="10.7109375" customWidth="1"/>
    <col min="10" max="10" width="11.2851562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  <c r="H1" s="1" t="s">
        <v>30</v>
      </c>
      <c r="I1" s="1" t="s">
        <v>9</v>
      </c>
      <c r="J1" s="1" t="s">
        <v>6</v>
      </c>
      <c r="K1" s="1" t="s">
        <v>7</v>
      </c>
      <c r="L1" s="2"/>
    </row>
    <row r="2" spans="1:12" x14ac:dyDescent="0.25">
      <c r="A2" s="1">
        <v>1017</v>
      </c>
      <c r="B2" s="1" t="s">
        <v>26</v>
      </c>
      <c r="C2" s="1">
        <v>91</v>
      </c>
      <c r="D2" s="1">
        <v>94</v>
      </c>
      <c r="E2" s="1">
        <v>83</v>
      </c>
      <c r="F2" s="1">
        <v>81</v>
      </c>
      <c r="G2" s="1">
        <v>82</v>
      </c>
      <c r="H2" s="1" t="s">
        <v>10</v>
      </c>
      <c r="I2" s="1">
        <f>SUM(C2:H2)</f>
        <v>431</v>
      </c>
      <c r="J2" s="1">
        <f>AVERAGE(C2:H2)</f>
        <v>86.2</v>
      </c>
      <c r="K2" s="1" t="str">
        <f>IF(AND(D2&gt;=50,C2&gt;=50,E2&gt;=50,F2&gt;=50,G2&gt;=50, OR(H2="a",  H2="b",  H2="c" )),"Pass", "Fail")</f>
        <v>Pass</v>
      </c>
    </row>
    <row r="3" spans="1:12" x14ac:dyDescent="0.25">
      <c r="A3" s="1">
        <v>1003</v>
      </c>
      <c r="B3" s="1" t="s">
        <v>13</v>
      </c>
      <c r="C3" s="1">
        <v>87</v>
      </c>
      <c r="D3" s="1">
        <v>84</v>
      </c>
      <c r="E3" s="1">
        <v>75</v>
      </c>
      <c r="F3" s="1">
        <v>85</v>
      </c>
      <c r="G3" s="1">
        <v>89</v>
      </c>
      <c r="H3" s="1" t="s">
        <v>13</v>
      </c>
      <c r="I3" s="1">
        <f>SUM(C3:H3)</f>
        <v>420</v>
      </c>
      <c r="J3" s="1">
        <f>AVERAGE(C3:H3)</f>
        <v>84</v>
      </c>
      <c r="K3" s="1" t="str">
        <f>IF(AND(D3&gt;=50,C3&gt;=50,E3&gt;=50,F3&gt;=50,G3&gt;=50, OR(H3="a",  H3="b",  H3="c" )),"Pass", "Fail")</f>
        <v>Pass</v>
      </c>
    </row>
    <row r="4" spans="1:12" x14ac:dyDescent="0.25">
      <c r="A4" s="1">
        <v>1006</v>
      </c>
      <c r="B4" s="1" t="s">
        <v>15</v>
      </c>
      <c r="C4" s="1">
        <v>78</v>
      </c>
      <c r="D4" s="1">
        <v>90</v>
      </c>
      <c r="E4" s="1">
        <v>78</v>
      </c>
      <c r="F4" s="1">
        <v>90</v>
      </c>
      <c r="G4" s="1">
        <v>79</v>
      </c>
      <c r="H4" s="1" t="s">
        <v>12</v>
      </c>
      <c r="I4" s="1">
        <f>SUM(C4:H4)</f>
        <v>415</v>
      </c>
      <c r="J4" s="1">
        <f>AVERAGE(C4:H4)</f>
        <v>83</v>
      </c>
      <c r="K4" s="1" t="str">
        <f>IF(AND(D4&gt;=50,C4&gt;=50,E4&gt;=50,F4&gt;=50,G4&gt;=50, OR(H4="a",  H4="b",  H4="c" )),"Pass", "Fail")</f>
        <v>Pass</v>
      </c>
    </row>
    <row r="5" spans="1:12" x14ac:dyDescent="0.25">
      <c r="A5" s="1">
        <v>1016</v>
      </c>
      <c r="B5" s="1" t="s">
        <v>25</v>
      </c>
      <c r="C5" s="1">
        <v>65</v>
      </c>
      <c r="D5" s="1">
        <v>87</v>
      </c>
      <c r="E5" s="1">
        <v>95</v>
      </c>
      <c r="F5" s="1">
        <v>84</v>
      </c>
      <c r="G5" s="1">
        <v>83</v>
      </c>
      <c r="H5" s="1" t="s">
        <v>11</v>
      </c>
      <c r="I5" s="1">
        <f>SUM(C5:H5)</f>
        <v>414</v>
      </c>
      <c r="J5" s="1">
        <f>AVERAGE(C5:H5)</f>
        <v>82.8</v>
      </c>
      <c r="K5" s="1" t="str">
        <f>IF(AND(D5&gt;=50,C5&gt;=50,E5&gt;=50,F5&gt;=50,G5&gt;=50, OR(H5="a",  H5="b",  H5="c" )),"Pass", "Fail")</f>
        <v>Fail</v>
      </c>
    </row>
    <row r="6" spans="1:12" x14ac:dyDescent="0.25">
      <c r="A6" s="1">
        <v>1011</v>
      </c>
      <c r="B6" s="1" t="s">
        <v>20</v>
      </c>
      <c r="C6" s="1">
        <v>78</v>
      </c>
      <c r="D6" s="1">
        <v>98</v>
      </c>
      <c r="E6" s="1">
        <v>89</v>
      </c>
      <c r="F6" s="1">
        <v>67</v>
      </c>
      <c r="G6" s="1">
        <v>78</v>
      </c>
      <c r="H6" s="1" t="s">
        <v>13</v>
      </c>
      <c r="I6" s="1">
        <f>SUM(C6:H6)</f>
        <v>410</v>
      </c>
      <c r="J6" s="1">
        <f>AVERAGE(C6:H6)</f>
        <v>82</v>
      </c>
      <c r="K6" s="1" t="str">
        <f>IF(AND(D6&gt;=50,C6&gt;=50,E6&gt;=50,F6&gt;=50,G6&gt;=50, OR(H6="a",  H6="b",  H6="c" )),"Pass", "Fail")</f>
        <v>Pass</v>
      </c>
    </row>
    <row r="7" spans="1:12" x14ac:dyDescent="0.25">
      <c r="A7" s="1">
        <v>1009</v>
      </c>
      <c r="B7" s="1" t="s">
        <v>18</v>
      </c>
      <c r="C7" s="1">
        <v>89</v>
      </c>
      <c r="D7" s="1">
        <v>76</v>
      </c>
      <c r="E7" s="1">
        <v>76</v>
      </c>
      <c r="F7" s="1">
        <v>89</v>
      </c>
      <c r="G7" s="1">
        <v>78</v>
      </c>
      <c r="H7" s="1" t="s">
        <v>10</v>
      </c>
      <c r="I7" s="1">
        <f>SUM(C7:H7)</f>
        <v>408</v>
      </c>
      <c r="J7" s="1">
        <f>AVERAGE(C7:H7)</f>
        <v>81.599999999999994</v>
      </c>
      <c r="K7" s="1" t="str">
        <f>IF(AND(D7&gt;=50,C7&gt;=50,E7&gt;=50,F7&gt;=50,G7&gt;=50, OR(H7="a",  H7="b",  H7="c" )),"Pass", "Fail")</f>
        <v>Pass</v>
      </c>
    </row>
    <row r="8" spans="1:12" x14ac:dyDescent="0.25">
      <c r="A8" s="1">
        <v>1015</v>
      </c>
      <c r="B8" s="1" t="s">
        <v>24</v>
      </c>
      <c r="C8" s="1">
        <v>67</v>
      </c>
      <c r="D8" s="1">
        <v>67</v>
      </c>
      <c r="E8" s="1">
        <v>89</v>
      </c>
      <c r="F8" s="1">
        <v>90</v>
      </c>
      <c r="G8" s="1">
        <v>89</v>
      </c>
      <c r="H8" s="1" t="s">
        <v>13</v>
      </c>
      <c r="I8" s="1">
        <f>SUM(C8:H8)</f>
        <v>402</v>
      </c>
      <c r="J8" s="1">
        <f>AVERAGE(C8:H8)</f>
        <v>80.400000000000006</v>
      </c>
      <c r="K8" s="1" t="str">
        <f>IF(AND(D8&gt;=50,C8&gt;=50,E8&gt;=50,F8&gt;=50,G8&gt;=50, OR(H8="a",  H8="b",  H8="c" )),"Pass", "Fail")</f>
        <v>Pass</v>
      </c>
    </row>
    <row r="9" spans="1:12" x14ac:dyDescent="0.25">
      <c r="A9" s="1">
        <v>1005</v>
      </c>
      <c r="B9" s="1" t="s">
        <v>14</v>
      </c>
      <c r="C9" s="1">
        <v>78</v>
      </c>
      <c r="D9" s="1">
        <v>89</v>
      </c>
      <c r="E9" s="1">
        <v>78</v>
      </c>
      <c r="F9" s="1">
        <v>78</v>
      </c>
      <c r="G9" s="1">
        <v>78</v>
      </c>
      <c r="H9" s="1" t="s">
        <v>10</v>
      </c>
      <c r="I9" s="1">
        <f>SUM(C9:H9)</f>
        <v>401</v>
      </c>
      <c r="J9" s="1">
        <f>AVERAGE(C9:H9)</f>
        <v>80.2</v>
      </c>
      <c r="K9" s="1" t="str">
        <f>IF(AND(D9&gt;=50,C9&gt;=50,E9&gt;=50,F9&gt;=50,G9&gt;=50, OR(H9="a",  H9="b",  H9="c" )),"Pass", "Fail")</f>
        <v>Pass</v>
      </c>
    </row>
    <row r="10" spans="1:12" x14ac:dyDescent="0.25">
      <c r="A10" s="1">
        <v>1007</v>
      </c>
      <c r="B10" s="1" t="s">
        <v>16</v>
      </c>
      <c r="C10" s="1">
        <v>67</v>
      </c>
      <c r="D10" s="1">
        <v>97</v>
      </c>
      <c r="E10" s="1">
        <v>89</v>
      </c>
      <c r="F10" s="1">
        <v>48</v>
      </c>
      <c r="G10" s="1">
        <v>98</v>
      </c>
      <c r="H10" s="1" t="s">
        <v>13</v>
      </c>
      <c r="I10" s="1">
        <f>SUM(C10:H10)</f>
        <v>399</v>
      </c>
      <c r="J10" s="1">
        <f>AVERAGE(C10:H10)</f>
        <v>79.8</v>
      </c>
      <c r="K10" s="1" t="str">
        <f>IF(AND(D10&gt;=50,C10&gt;=50,E10&gt;=50,F10&gt;=50,G10&gt;=50, OR(H10="a",  H10="b",  H10="c" )),"Pass", "Fail")</f>
        <v>Fail</v>
      </c>
    </row>
    <row r="11" spans="1:12" x14ac:dyDescent="0.25">
      <c r="A11" s="1">
        <v>1019</v>
      </c>
      <c r="B11" s="1" t="s">
        <v>28</v>
      </c>
      <c r="C11" s="1">
        <v>80</v>
      </c>
      <c r="D11" s="1">
        <v>74</v>
      </c>
      <c r="E11" s="1">
        <v>64</v>
      </c>
      <c r="F11" s="1">
        <v>64</v>
      </c>
      <c r="G11" s="1">
        <v>98</v>
      </c>
      <c r="H11" s="1" t="s">
        <v>13</v>
      </c>
      <c r="I11" s="1">
        <f>SUM(C11:H11)</f>
        <v>380</v>
      </c>
      <c r="J11" s="1">
        <f>AVERAGE(C11:H11)</f>
        <v>76</v>
      </c>
      <c r="K11" s="1" t="str">
        <f>IF(AND(D11&gt;=50,C11&gt;=50,E11&gt;=50,F11&gt;=50,G11&gt;=50, OR(H11="a",  H11="b",  H11="c" )),"Pass", "Fail")</f>
        <v>Pass</v>
      </c>
    </row>
    <row r="12" spans="1:12" x14ac:dyDescent="0.25">
      <c r="A12" s="1">
        <v>1008</v>
      </c>
      <c r="B12" s="1" t="s">
        <v>17</v>
      </c>
      <c r="C12" s="1">
        <v>67</v>
      </c>
      <c r="D12" s="1">
        <v>98</v>
      </c>
      <c r="E12" s="1">
        <v>89</v>
      </c>
      <c r="F12" s="1">
        <v>67</v>
      </c>
      <c r="G12" s="1">
        <v>56</v>
      </c>
      <c r="H12" s="1" t="s">
        <v>11</v>
      </c>
      <c r="I12" s="1">
        <f>SUM(C12:H12)</f>
        <v>377</v>
      </c>
      <c r="J12" s="1">
        <f>AVERAGE(C12:H12)</f>
        <v>75.400000000000006</v>
      </c>
      <c r="K12" s="1" t="str">
        <f>IF(AND(D12&gt;=50,C12&gt;=50,E12&gt;=50,F12&gt;=50,G12&gt;=50, OR(H12="a",  H12="b",  H12="c" )),"Pass", "Fail")</f>
        <v>Fail</v>
      </c>
    </row>
    <row r="13" spans="1:12" x14ac:dyDescent="0.25">
      <c r="A13" s="1">
        <v>1020</v>
      </c>
      <c r="B13" s="1" t="s">
        <v>29</v>
      </c>
      <c r="C13" s="1">
        <v>67</v>
      </c>
      <c r="D13" s="1">
        <v>98</v>
      </c>
      <c r="E13" s="1">
        <v>68</v>
      </c>
      <c r="F13" s="1">
        <v>65</v>
      </c>
      <c r="G13" s="1">
        <v>74</v>
      </c>
      <c r="H13" s="1" t="s">
        <v>11</v>
      </c>
      <c r="I13" s="1">
        <f>SUM(C13:H13)</f>
        <v>372</v>
      </c>
      <c r="J13" s="1">
        <f>AVERAGE(C13:H13)</f>
        <v>74.400000000000006</v>
      </c>
      <c r="K13" s="1" t="str">
        <f>IF(AND(D13&gt;=50,C13&gt;=50,E13&gt;=50,F13&gt;=50,G13&gt;=50, OR(H13="a",  H13="b",  H13="c" )),"Pass", "Fail")</f>
        <v>Fail</v>
      </c>
    </row>
    <row r="14" spans="1:12" x14ac:dyDescent="0.25">
      <c r="A14" s="1">
        <v>1012</v>
      </c>
      <c r="B14" s="1" t="s">
        <v>21</v>
      </c>
      <c r="C14" s="1">
        <v>56</v>
      </c>
      <c r="D14" s="1">
        <v>87</v>
      </c>
      <c r="E14" s="1">
        <v>76</v>
      </c>
      <c r="F14" s="1">
        <v>65</v>
      </c>
      <c r="G14" s="1">
        <v>87</v>
      </c>
      <c r="H14" s="1" t="s">
        <v>11</v>
      </c>
      <c r="I14" s="1">
        <f>SUM(C14:H14)</f>
        <v>371</v>
      </c>
      <c r="J14" s="1">
        <f>AVERAGE(C14:H14)</f>
        <v>74.2</v>
      </c>
      <c r="K14" s="1" t="str">
        <f>IF(AND(D14&gt;=50,C14&gt;=50,E14&gt;=50,F14&gt;=50,G14&gt;=50, OR(H14="a",  H14="b",  H14="c" )),"Pass", "Fail")</f>
        <v>Fail</v>
      </c>
    </row>
    <row r="15" spans="1:12" x14ac:dyDescent="0.25">
      <c r="A15" s="1">
        <v>1018</v>
      </c>
      <c r="B15" s="1" t="s">
        <v>27</v>
      </c>
      <c r="C15" s="1">
        <v>90</v>
      </c>
      <c r="D15" s="1">
        <v>78</v>
      </c>
      <c r="E15" s="1">
        <v>32</v>
      </c>
      <c r="F15" s="1">
        <v>92</v>
      </c>
      <c r="G15" s="1">
        <v>75</v>
      </c>
      <c r="H15" s="1" t="s">
        <v>12</v>
      </c>
      <c r="I15" s="1">
        <f>SUM(C15:H15)</f>
        <v>367</v>
      </c>
      <c r="J15" s="1">
        <f>AVERAGE(C15:H15)</f>
        <v>73.400000000000006</v>
      </c>
      <c r="K15" s="1" t="str">
        <f>IF(AND(D15&gt;=50,C15&gt;=50,E15&gt;=50,F15&gt;=50,G15&gt;=50, OR(H15="a",  H15="b",  H15="c" )),"Pass", "Fail")</f>
        <v>Fail</v>
      </c>
    </row>
    <row r="16" spans="1:12" x14ac:dyDescent="0.25">
      <c r="A16" s="1">
        <v>1014</v>
      </c>
      <c r="B16" s="1" t="s">
        <v>23</v>
      </c>
      <c r="C16" s="1">
        <v>89</v>
      </c>
      <c r="D16" s="1">
        <v>45</v>
      </c>
      <c r="E16" s="1">
        <v>87</v>
      </c>
      <c r="F16" s="1">
        <v>78</v>
      </c>
      <c r="G16" s="1">
        <v>67</v>
      </c>
      <c r="H16" s="1" t="s">
        <v>12</v>
      </c>
      <c r="I16" s="1">
        <f>SUM(C16:H16)</f>
        <v>366</v>
      </c>
      <c r="J16" s="1">
        <f>AVERAGE(C16:H16)</f>
        <v>73.2</v>
      </c>
      <c r="K16" s="1" t="str">
        <f>IF(AND(D16&gt;=50,C16&gt;=50,E16&gt;=50,F16&gt;=50,G16&gt;=50, OR(H16="a",  H16="b",  H16="c" )),"Pass", "Fail")</f>
        <v>Fail</v>
      </c>
    </row>
    <row r="17" spans="1:11" x14ac:dyDescent="0.25">
      <c r="A17" s="1">
        <v>1010</v>
      </c>
      <c r="B17" s="1" t="s">
        <v>19</v>
      </c>
      <c r="C17" s="1">
        <v>54</v>
      </c>
      <c r="D17" s="1">
        <v>65</v>
      </c>
      <c r="E17" s="1">
        <v>67</v>
      </c>
      <c r="F17" s="1">
        <v>80</v>
      </c>
      <c r="G17" s="1">
        <v>97</v>
      </c>
      <c r="H17" s="1" t="s">
        <v>12</v>
      </c>
      <c r="I17" s="1">
        <f>SUM(C17:H17)</f>
        <v>363</v>
      </c>
      <c r="J17" s="1">
        <f>AVERAGE(C17:H17)</f>
        <v>72.599999999999994</v>
      </c>
      <c r="K17" s="1" t="str">
        <f>IF(AND(D17&gt;=50,C17&gt;=50,E17&gt;=50,F17&gt;=50,G17&gt;=50, OR(H17="a",  H17="b",  H17="c" )),"Pass", "Fail")</f>
        <v>Pass</v>
      </c>
    </row>
    <row r="18" spans="1:11" x14ac:dyDescent="0.25">
      <c r="A18" s="1">
        <v>1002</v>
      </c>
      <c r="B18" s="1" t="s">
        <v>12</v>
      </c>
      <c r="C18" s="1">
        <v>45</v>
      </c>
      <c r="D18" s="1">
        <v>65</v>
      </c>
      <c r="E18" s="1">
        <v>76</v>
      </c>
      <c r="F18" s="1">
        <v>87</v>
      </c>
      <c r="G18" s="1">
        <v>89</v>
      </c>
      <c r="H18" s="1" t="s">
        <v>12</v>
      </c>
      <c r="I18" s="1">
        <f>SUM(C18:H18)</f>
        <v>362</v>
      </c>
      <c r="J18" s="1">
        <f>AVERAGE(C18:H18)</f>
        <v>72.400000000000006</v>
      </c>
      <c r="K18" s="1" t="str">
        <f>IF(AND(D18&gt;=50,C18&gt;=50,E18&gt;=50,F18&gt;=50,G18&gt;=50, OR(H18="a",  H18="b",  H18="c" )),"Pass", "Fail")</f>
        <v>Fail</v>
      </c>
    </row>
    <row r="19" spans="1:11" x14ac:dyDescent="0.25">
      <c r="A19" s="1">
        <v>1004</v>
      </c>
      <c r="B19" s="1" t="s">
        <v>11</v>
      </c>
      <c r="C19" s="1">
        <v>67</v>
      </c>
      <c r="D19" s="1">
        <v>78</v>
      </c>
      <c r="E19" s="1">
        <v>89</v>
      </c>
      <c r="F19" s="1">
        <v>57</v>
      </c>
      <c r="G19" s="1">
        <v>67</v>
      </c>
      <c r="H19" s="1" t="s">
        <v>11</v>
      </c>
      <c r="I19" s="1">
        <f>SUM(C19:H19)</f>
        <v>358</v>
      </c>
      <c r="J19" s="1">
        <f>AVERAGE(C19:H19)</f>
        <v>71.599999999999994</v>
      </c>
      <c r="K19" s="1" t="str">
        <f>IF(AND(D19&gt;=50,C19&gt;=50,E19&gt;=50,F19&gt;=50,G19&gt;=50, OR(H19="a",  H19="b",  H19="c" )),"Pass", "Fail")</f>
        <v>Fail</v>
      </c>
    </row>
    <row r="20" spans="1:11" x14ac:dyDescent="0.25">
      <c r="A20" s="1">
        <v>1001</v>
      </c>
      <c r="B20" s="1" t="s">
        <v>10</v>
      </c>
      <c r="C20" s="1">
        <v>54</v>
      </c>
      <c r="D20" s="1">
        <v>56</v>
      </c>
      <c r="E20" s="1">
        <v>76</v>
      </c>
      <c r="F20" s="1">
        <v>78</v>
      </c>
      <c r="G20" s="1">
        <v>89</v>
      </c>
      <c r="H20" s="1" t="s">
        <v>10</v>
      </c>
      <c r="I20" s="1">
        <f>SUM(C20:H20)</f>
        <v>353</v>
      </c>
      <c r="J20" s="1">
        <f>AVERAGE(C20:H20)</f>
        <v>70.599999999999994</v>
      </c>
      <c r="K20" s="1" t="str">
        <f>IF(AND(D20&gt;=50,C20&gt;=50,E20&gt;=50,F20&gt;=50,G20&gt;=50, OR(H20="a",  H20="b",  H20="c" )),"Pass", "Fail")</f>
        <v>Pass</v>
      </c>
    </row>
    <row r="21" spans="1:11" x14ac:dyDescent="0.25">
      <c r="A21" s="1">
        <v>1013</v>
      </c>
      <c r="B21" s="1" t="s">
        <v>22</v>
      </c>
      <c r="C21" s="1">
        <v>78</v>
      </c>
      <c r="D21" s="1">
        <v>24</v>
      </c>
      <c r="E21" s="1">
        <v>86</v>
      </c>
      <c r="F21" s="1">
        <v>67</v>
      </c>
      <c r="G21" s="1">
        <v>65</v>
      </c>
      <c r="H21" s="1" t="s">
        <v>10</v>
      </c>
      <c r="I21" s="1">
        <f>SUM(C21:H21)</f>
        <v>320</v>
      </c>
      <c r="J21" s="1">
        <f>AVERAGE(C21:H21)</f>
        <v>64</v>
      </c>
      <c r="K21" s="1" t="str">
        <f>IF(AND(D21&gt;=50,C21&gt;=50,E21&gt;=50,F21&gt;=50,G21&gt;=50, OR(H21="a",  H21="b",  H21="c" )),"Pass", "Fail")</f>
        <v>Fail</v>
      </c>
    </row>
  </sheetData>
  <sortState ref="A2:K21">
    <sortCondition descending="1" ref="J2:J21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 NGP. LAB6</dc:creator>
  <cp:lastModifiedBy>SIT NGP. LAB6</cp:lastModifiedBy>
  <dcterms:created xsi:type="dcterms:W3CDTF">2025-10-08T03:48:44Z</dcterms:created>
  <dcterms:modified xsi:type="dcterms:W3CDTF">2025-10-08T05:02:02Z</dcterms:modified>
</cp:coreProperties>
</file>